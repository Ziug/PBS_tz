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b8895e474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9222554668664e67"/>
    <x:sheet xmlns:r="http://schemas.openxmlformats.org/officeDocument/2006/relationships" name="Пример_формул" sheetId="2" r:id="R476e72a4e724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"/>
  </x:numFmts>
  <x:fonts count="4">
    <x:font>
      <x:sz val="11"/>
      <x:name val="Carlito"/>
    </x:font>
    <x:font>
      <x:sz val="11"/>
      <x:color rgb="FF1F2937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27e47a0494420" /><Relationship Type="http://schemas.openxmlformats.org/officeDocument/2006/relationships/theme" Target="/xl/theme/theme1.xml" Id="R8458afd70a8645a1" /><Relationship Type="http://schemas.openxmlformats.org/officeDocument/2006/relationships/sharedStrings" Target="/xl/sharedStrings.xml" Id="Re7840caf8d3947b8" /><Relationship Type="http://schemas.openxmlformats.org/officeDocument/2006/relationships/worksheet" Target="/xl/worksheets/sheet1.xml" Id="R9222554668664e67" /><Relationship Type="http://schemas.openxmlformats.org/officeDocument/2006/relationships/worksheet" Target="/xl/worksheets/sheet2.xml" Id="R476e72a4e724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7" hidden="0" customWidth="1"/>
    <x:col min="4" max="4" width="24" hidden="0" customWidth="1"/>
    <x:col min="5" max="5" width="15" hidden="0" customWidth="1"/>
    <x:col min="6" max="6" width="15" hidden="0" customWidth="1"/>
  </x:cols>
  <x:sheetData>
    <x:row r="1" ht="29" customHeight="1">
      <x:c r="A1" s="7" t="str">
        <x:v>record_id</x:v>
      </x:c>
      <x:c r="B1" s="7" t="str">
        <x:v>date</x:v>
      </x:c>
      <x:c r="C1" s="7" t="str">
        <x:v>batch_id</x:v>
      </x:c>
      <x:c r="D1" s="7" t="str">
        <x:v>employee</x:v>
      </x:c>
      <x:c r="E1" s="7" t="str">
        <x:v>plan_qty</x:v>
      </x:c>
      <x:c r="F1" s="7" t="str">
        <x:v>fact_qty</x:v>
      </x:c>
    </x:row>
    <x:row r="2" ht="25" customHeight="1">
      <x:c r="A2" s="3" t="str">
        <x:v>P-001</x:v>
      </x:c>
      <x:c r="B2" s="10" t="n">
        <x:v>46300</x:v>
      </x:c>
      <x:c r="C2" s="3" t="str">
        <x:v>LOT-01</x:v>
      </x:c>
      <x:c r="D2" s="3" t="str">
        <x:v>Анна Соколова</x:v>
      </x:c>
      <x:c r="E2" s="3" t="n">
        <x:v>100</x:v>
      </x:c>
      <x:c r="F2" s="3" t="n">
        <x:v>90</x:v>
      </x:c>
    </x:row>
    <x:row r="3" ht="25" customHeight="1">
      <x:c r="A3" s="3" t="str">
        <x:v>P-002</x:v>
      </x:c>
      <x:c r="B3" s="10" t="n">
        <x:v>46301</x:v>
      </x:c>
      <x:c r="C3" s="3" t="str">
        <x:v>LOT-02</x:v>
      </x:c>
      <x:c r="D3" s="3" t="str">
        <x:v>Анна Соколова</x:v>
      </x:c>
      <x:c r="E3" s="3" t="n">
        <x:v>100</x:v>
      </x:c>
      <x:c r="F3" s="3" t="n">
        <x:v>100</x:v>
      </x:c>
    </x:row>
    <x:row r="4" ht="25" customHeight="1">
      <x:c r="A4" s="3" t="str">
        <x:v>P-003</x:v>
      </x:c>
      <x:c r="B4" s="10" t="n">
        <x:v>46302</x:v>
      </x:c>
      <x:c r="C4" s="3" t="str">
        <x:v>LOT-03</x:v>
      </x:c>
      <x:c r="D4" s="3" t="str">
        <x:v>Иван Морозов</x:v>
      </x:c>
      <x:c r="E4" s="3" t="n">
        <x:v>100</x:v>
      </x:c>
      <x:c r="F4" s="3" t="n">
        <x:v>1200</x:v>
      </x:c>
    </x:row>
    <x:row r="5" ht="25" customHeight="1">
      <x:c r="A5" s="3" t="str">
        <x:v>P-004</x:v>
      </x:c>
      <x:c r="B5" s="10" t="n">
        <x:v>46303</x:v>
      </x:c>
      <x:c r="C5" s="3" t="str">
        <x:v>LOT-04</x:v>
      </x:c>
      <x:c r="D5" s="3" t="str">
        <x:v>Иван Морозов</x:v>
      </x:c>
      <x:c r="E5" s="3" t="n">
        <x:v>100</x:v>
      </x:c>
      <x:c r="F5" s="3" t="n">
        <x:v>-5</x:v>
      </x:c>
    </x:row>
    <x:row r="6" ht="25" customHeight="1">
      <x:c r="A6" s="3" t="str">
        <x:v>P-005</x:v>
      </x:c>
      <x:c r="B6" s="10" t="n">
        <x:v>46304</x:v>
      </x:c>
      <x:c r="C6" s="3" t="str">
        <x:v>LOT-05</x:v>
      </x:c>
      <x:c r="D6" s="3" t="str">
        <x:v>Анна Соколова</x:v>
      </x:c>
      <x:c r="E6" s="3" t="n">
        <x:v>100</x:v>
      </x:c>
      <x:c r="F6" s="3" t="n">
        <x:v>80</x:v>
      </x:c>
    </x:row>
    <x:row r="7" ht="25" customHeight="1">
      <x:c r="A7" s="3" t="str">
        <x:v>P-005</x:v>
      </x:c>
      <x:c r="B7" s="10" t="n">
        <x:v>46304</x:v>
      </x:c>
      <x:c r="C7" s="3" t="str">
        <x:v>LOT-05</x:v>
      </x:c>
      <x:c r="D7" s="3" t="str">
        <x:v>Анна Соколова</x:v>
      </x:c>
      <x:c r="E7" s="3" t="n">
        <x:v>100</x:v>
      </x:c>
      <x:c r="F7" s="3" t="n">
        <x:v>80</x:v>
      </x:c>
    </x:row>
    <x:row r="8" ht="25" customHeight="1">
      <x:c r="A8" s="3" t="str">
        <x:v>P-006</x:v>
      </x:c>
      <x:c r="B8" s="10" t="n">
        <x:v>46307</x:v>
      </x:c>
      <x:c r="C8" s="3" t="str">
        <x:v>LOT-06</x:v>
      </x:c>
      <x:c r="D8" s="3" t="str">
        <x:v>Иван Морозов</x:v>
      </x:c>
      <x:c r="E8" s="3" t="n">
        <x:v>100</x:v>
      </x:c>
      <x:c r="F8" s="3" t="n">
        <x:v>0</x:v>
      </x:c>
    </x:row>
    <x:row r="9" ht="25" customHeight="1">
      <x:c r="A9" s="3" t="str">
        <x:v>P-007</x:v>
      </x:c>
      <x:c r="B9" s="10" t="n">
        <x:v>46308</x:v>
      </x:c>
      <x:c r="C9" s="3" t="str">
        <x:v>LOT-07</x:v>
      </x:c>
      <x:c r="D9" s="3" t="str">
        <x:v>Анна Соколова</x:v>
      </x:c>
      <x:c r="E9" s="3" t="n">
        <x:v>100</x:v>
      </x:c>
      <x:c r="F9" s="3"/>
    </x:row>
    <x:row r="10" ht="25" customHeight="1">
      <x:c r="A10" s="3" t="str">
        <x:v>P-008</x:v>
      </x:c>
      <x:c r="B10" s="10" t="n">
        <x:v>46309</x:v>
      </x:c>
      <x:c r="C10" s="3" t="str">
        <x:v>LOT-08</x:v>
      </x:c>
      <x:c r="D10" s="3" t="str">
        <x:v>Иван Морозов</x:v>
      </x:c>
      <x:c r="E10" s="3" t="n">
        <x:v>100</x:v>
      </x:c>
      <x:c r="F10" s="3" t="n">
        <x:v>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42" hidden="0" customWidth="1"/>
  </x:cols>
  <x:sheetData>
    <x:row r="1" ht="35" customHeight="1">
      <x:c r="A1" s="17" t="str">
        <x:v>Показатель</x:v>
      </x:c>
      <x:c r="B1" s="17" t="str">
        <x:v>Значение</x:v>
      </x:c>
      <x:c r="C1" s="17" t="str">
        <x:v>Пояснение</x:v>
      </x:c>
    </x:row>
    <x:row r="2" ht="35" customHeight="1">
      <x:c r="A2" s="13" t="str">
        <x:v>План за 05–06.10.2026</x:v>
      </x:c>
      <x:c r="B2" s="13" t="n">
        <x:f>SUM('Данные'!E2:E3)</x:f>
        <x:v>200</x:v>
      </x:c>
      <x:c r="C2" s="13" t="str">
        <x:v>Контрольный пример: первые две строки без ошибок.</x:v>
      </x:c>
    </x:row>
    <x:row r="3" ht="35" customHeight="1">
      <x:c r="A3" s="13" t="str">
        <x:v>Факт за 05–06.10.2026</x:v>
      </x:c>
      <x:c r="B3" s="13" t="n">
        <x:f>SUM('Данные'!F2:F3)</x:f>
        <x:v>190</x:v>
      </x:c>
      <x:c r="C3" s="13" t="str">
        <x:v>Сумма первичных фактов на листе «Данные».</x:v>
      </x:c>
    </x:row>
    <x:row r="4" ht="35" customHeight="1">
      <x:c r="A4" s="13" t="str">
        <x:v>Выполнение плана</x:v>
      </x:c>
      <x:c r="B4" s="20" t="n">
        <x:f>IF(B2=0,"",B3/B2)</x:f>
        <x:v>0.95</x:v>
      </x:c>
      <x:c r="C4" s="13" t="str">
        <x:v>Общий факт / общий план. Не среднее процентов.</x:v>
      </x:c>
    </x:row>
  </x:sheetData>
  <x:pageMargins left="0.7" right="0.7" top="0.75" bottom="0.75" header="0.3" footer="0.3"/>
</x:worksheet>
</file>